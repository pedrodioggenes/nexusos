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374151"/>
      <sz val="10"/>
    </font>
    <font>
      <name val="Calibri"/>
      <b val="1"/>
      <color rgb="00FFFFFF"/>
      <sz val="11"/>
    </font>
    <font>
      <name val="Calibri"/>
      <color rgb="00111827"/>
      <sz val="11"/>
    </font>
    <font>
      <name val="Calibri"/>
      <b val="1"/>
      <color rgb="00111827"/>
      <sz val="12"/>
    </font>
    <font>
      <name val="Calibri"/>
      <b val="1"/>
      <color rgb="00111827"/>
      <sz val="11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B1220"/>
      </patternFill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ill>
        <patternFill patternType="solid">
          <fgColor rgb="00DBEAFE"/>
        </patternFill>
      </fill>
    </dxf>
    <dxf>
      <fill>
        <patternFill patternType="solid">
          <fgColor rgb="00FEF9C3"/>
        </patternFill>
      </fill>
    </dxf>
    <dxf>
      <fill>
        <patternFill patternType="solid">
          <fgColor rgb="00FED7AA"/>
        </patternFill>
      </fill>
    </dxf>
    <dxf>
      <fill>
        <patternFill patternType="solid">
          <fgColor rgb="00FECACA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Fases por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'Dashboard'!$A$7:$A$12</f>
            </numRef>
          </cat>
          <val>
            <numRef>
              <f>'Dashboard'!$B$7:$B$12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Conclusão por Fase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'Dashboard'!$A$15:$A$20</f>
            </numRef>
          </cat>
          <val>
            <numRef>
              <f>'Dashboard'!$B$15:$B$20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Status (Fases)</a:t>
            </a:r>
          </a:p>
        </rich>
      </tx>
    </title>
    <plotArea>
      <pieChart>
        <varyColors val="1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'Dashboard'!$A$7:$A$12</f>
            </numRef>
          </cat>
          <val>
            <numRef>
              <f>'Dashboard'!$B$7:$B$12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13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25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ronograma" displayName="tblCronograma" ref="A4:P10" headerRowCount="1">
  <autoFilter ref="A4:P10"/>
  <tableColumns count="16">
    <tableColumn id="1" name="Nível"/>
    <tableColumn id="2" name="Fase"/>
    <tableColumn id="3" name="Objetivo (executivo)"/>
    <tableColumn id="4" name="Início"/>
    <tableColumn id="5" name="Fim"/>
    <tableColumn id="6" name="Duração (dias)"/>
    <tableColumn id="7" name="Marco (Gate)"/>
    <tableColumn id="8" name="Entregáveis-chave"/>
    <tableColumn id="9" name="Ritos / Cadência"/>
    <tableColumn id="10" name="Sponsor (Diretoria)"/>
    <tableColumn id="11" name="Dono Operacional"/>
    <tableColumn id="12" name="Status"/>
    <tableColumn id="13" name="% Conclusão"/>
    <tableColumn id="14" name="Prioridade"/>
    <tableColumn id="15" name="Observações"/>
    <tableColumn id="16" name="Links/Evidências (HyperWork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26" customWidth="1" min="4" max="4"/>
    <col width="34" customWidth="1" min="5" max="5"/>
    <col width="28" customWidth="1" min="6" max="6"/>
    <col width="34" customWidth="1" min="7" max="7"/>
    <col width="44" customWidth="1" min="8" max="8"/>
    <col width="22" customWidth="1" min="9" max="9"/>
    <col width="30" customWidth="1" min="10" max="10"/>
    <col width="20" customWidth="1" min="11" max="11"/>
    <col width="12" customWidth="1" min="12" max="12"/>
    <col width="13" customWidth="1" min="13" max="13"/>
    <col width="12" customWidth="1" min="14" max="14"/>
    <col width="36" customWidth="1" min="15" max="15"/>
    <col width="34" customWidth="1" min="16" max="16"/>
  </cols>
  <sheetData>
    <row r="1" ht="32" customHeight="1">
      <c r="A1" s="1" t="inlineStr">
        <is>
          <t>Plano Diretor de Implantação (PDI) — Nexus | Cronograma Executivo por Fases e Marcos</t>
        </is>
      </c>
    </row>
    <row r="2" ht="24" customHeight="1">
      <c r="A2" s="2" t="inlineStr">
        <is>
          <t>Preencha datas e status. O escopo detalhado evolui por ciclos (90 dias) e é aprovado via Gate (Marco). Este cronograma dá previsibilidade sem travar decisões.</t>
        </is>
      </c>
    </row>
    <row r="4" ht="28" customHeight="1">
      <c r="A4" s="3" t="inlineStr">
        <is>
          <t>Nível</t>
        </is>
      </c>
      <c r="B4" s="3" t="inlineStr">
        <is>
          <t>Fase</t>
        </is>
      </c>
      <c r="C4" s="3" t="inlineStr">
        <is>
          <t>Objetivo (executivo)</t>
        </is>
      </c>
      <c r="D4" s="3" t="inlineStr">
        <is>
          <t>Início</t>
        </is>
      </c>
      <c r="E4" s="3" t="inlineStr">
        <is>
          <t>Fim</t>
        </is>
      </c>
      <c r="F4" s="3" t="inlineStr">
        <is>
          <t>Duração (dias)</t>
        </is>
      </c>
      <c r="G4" s="3" t="inlineStr">
        <is>
          <t>Marco (Gate)</t>
        </is>
      </c>
      <c r="H4" s="3" t="inlineStr">
        <is>
          <t>Entregáveis-chave</t>
        </is>
      </c>
      <c r="I4" s="3" t="inlineStr">
        <is>
          <t>Ritos / Cadência</t>
        </is>
      </c>
      <c r="J4" s="3" t="inlineStr">
        <is>
          <t>Sponsor (Diretoria)</t>
        </is>
      </c>
      <c r="K4" s="3" t="inlineStr">
        <is>
          <t>Dono Operacional</t>
        </is>
      </c>
      <c r="L4" s="3" t="inlineStr">
        <is>
          <t>Status</t>
        </is>
      </c>
      <c r="M4" s="3" t="inlineStr">
        <is>
          <t>% Conclusão</t>
        </is>
      </c>
      <c r="N4" s="3" t="inlineStr">
        <is>
          <t>Prioridade</t>
        </is>
      </c>
      <c r="O4" s="3" t="inlineStr">
        <is>
          <t>Observações</t>
        </is>
      </c>
      <c r="P4" s="3" t="inlineStr">
        <is>
          <t>Links/Evidências (HyperWorks)</t>
        </is>
      </c>
    </row>
    <row r="5">
      <c r="A5" s="4" t="inlineStr">
        <is>
          <t>Fase 0</t>
        </is>
      </c>
      <c r="B5" s="4" t="inlineStr">
        <is>
          <t>Kick-off e Acessos (Onboarding)</t>
        </is>
      </c>
      <c r="C5" s="4" t="inlineStr">
        <is>
          <t>Alinhar objetivos, definir sponsor, ritos, acessos e ambiente de trabalho.</t>
        </is>
      </c>
      <c r="D5" s="5" t="n">
        <v>46078</v>
      </c>
      <c r="E5" s="5" t="n">
        <v>46092</v>
      </c>
      <c r="F5" s="6">
        <f>IF(AND(D5&lt;&gt;"",E5&lt;&gt;""),E5-D5+1,"")</f>
        <v/>
      </c>
      <c r="G5" s="4" t="inlineStr">
        <is>
          <t>Gate 0: Kick-off aprovado</t>
        </is>
      </c>
      <c r="H5" s="4" t="inlineStr">
        <is>
          <t>Ritos definidos; Acessos (Nexus/Sistemas); Plano de comunicação; Mapa inicial de processos</t>
        </is>
      </c>
      <c r="I5" s="4" t="inlineStr">
        <is>
          <t>Semanal (WBR)</t>
        </is>
      </c>
      <c r="J5" s="4" t="inlineStr">
        <is>
          <t>Diretoria (Sponsor)</t>
        </is>
      </c>
      <c r="K5" s="4" t="inlineStr">
        <is>
          <t>PM/Araripe</t>
        </is>
      </c>
      <c r="L5" s="6" t="inlineStr">
        <is>
          <t>Planejado</t>
        </is>
      </c>
      <c r="M5" s="7" t="n">
        <v>0.05</v>
      </c>
      <c r="N5" s="6" t="inlineStr">
        <is>
          <t>Alta</t>
        </is>
      </c>
      <c r="O5" s="4" t="inlineStr"/>
      <c r="P5" s="4" t="inlineStr"/>
    </row>
    <row r="6">
      <c r="A6" s="4" t="inlineStr">
        <is>
          <t>Fase 1</t>
        </is>
      </c>
      <c r="B6" s="4" t="inlineStr">
        <is>
          <t>Imersão + Diagnóstico Prioritário</t>
        </is>
      </c>
      <c r="C6" s="4" t="inlineStr">
        <is>
          <t>Entender operação real e dores; validar oportunidades de alto impacto.</t>
        </is>
      </c>
      <c r="D6" s="5" t="n">
        <v>46093</v>
      </c>
      <c r="E6" s="5" t="n">
        <v>46120</v>
      </c>
      <c r="F6" s="6">
        <f>IF(AND(D6&lt;&gt;"",E6&lt;&gt;""),E6-D6+1,"")</f>
        <v/>
      </c>
      <c r="G6" s="4" t="inlineStr">
        <is>
          <t>Gate 1: Diagnóstico validado</t>
        </is>
      </c>
      <c r="H6" s="4" t="inlineStr">
        <is>
          <t>Diagnóstico V1; Matriz Impacto x Esforço; Backlog V1; Métricas base (baseline)</t>
        </is>
      </c>
      <c r="I6" s="4" t="inlineStr">
        <is>
          <t>Semanal + Quinzenal</t>
        </is>
      </c>
      <c r="J6" s="4" t="inlineStr">
        <is>
          <t>Diretoria (Sponsor)</t>
        </is>
      </c>
      <c r="K6" s="4" t="inlineStr">
        <is>
          <t>PM/Araripe</t>
        </is>
      </c>
      <c r="L6" s="6" t="inlineStr">
        <is>
          <t>Planejado</t>
        </is>
      </c>
      <c r="M6" s="7" t="n">
        <v>0</v>
      </c>
      <c r="N6" s="6" t="inlineStr">
        <is>
          <t>Alta</t>
        </is>
      </c>
      <c r="O6" s="4" t="inlineStr"/>
      <c r="P6" s="4" t="inlineStr"/>
    </row>
    <row r="7">
      <c r="A7" s="4" t="inlineStr">
        <is>
          <t>Fase 2</t>
        </is>
      </c>
      <c r="B7" s="4" t="inlineStr">
        <is>
          <t>Quick Wins + Organização Base</t>
        </is>
      </c>
      <c r="C7" s="4" t="inlineStr">
        <is>
          <t>Entregar melhorias rápidas e instalar rotina de governança e visibilidade.</t>
        </is>
      </c>
      <c r="D7" s="5" t="n">
        <v>46121</v>
      </c>
      <c r="E7" s="5" t="n">
        <v>46168</v>
      </c>
      <c r="F7" s="6">
        <f>IF(AND(D7&lt;&gt;"",E7&lt;&gt;""),E7-D7+1,"")</f>
        <v/>
      </c>
      <c r="G7" s="4" t="inlineStr">
        <is>
          <t>Gate 2: Quick Wins entregues</t>
        </is>
      </c>
      <c r="H7" s="4" t="inlineStr">
        <is>
          <t>Pacote de melhorias V1; Dashboard semanal; Padrões de evidência; Playbook inicial</t>
        </is>
      </c>
      <c r="I7" s="4" t="inlineStr">
        <is>
          <t>Semanal (WBR)</t>
        </is>
      </c>
      <c r="J7" s="4" t="inlineStr">
        <is>
          <t>Diretoria (Sponsor)</t>
        </is>
      </c>
      <c r="K7" s="4" t="inlineStr">
        <is>
          <t>PM/Araripe</t>
        </is>
      </c>
      <c r="L7" s="6" t="inlineStr">
        <is>
          <t>Planejado</t>
        </is>
      </c>
      <c r="M7" s="7" t="n">
        <v>0</v>
      </c>
      <c r="N7" s="6" t="inlineStr">
        <is>
          <t>Alta</t>
        </is>
      </c>
      <c r="O7" s="4" t="inlineStr"/>
      <c r="P7" s="4" t="inlineStr"/>
    </row>
    <row r="8">
      <c r="A8" s="4" t="inlineStr">
        <is>
          <t>Fase 3</t>
        </is>
      </c>
      <c r="B8" s="4" t="inlineStr">
        <is>
          <t>Implementações Estruturantes</t>
        </is>
      </c>
      <c r="C8" s="4" t="inlineStr">
        <is>
          <t>Padronizar processos-chave e iniciar automações e integrações prioritárias.</t>
        </is>
      </c>
      <c r="D8" s="5" t="n">
        <v>46169</v>
      </c>
      <c r="E8" s="5" t="n">
        <v>46258</v>
      </c>
      <c r="F8" s="6">
        <f>IF(AND(D8&lt;&gt;"",E8&lt;&gt;""),E8-D8+1,"")</f>
        <v/>
      </c>
      <c r="G8" s="4" t="inlineStr">
        <is>
          <t>Gate 3: Estruturantes aprovadas</t>
        </is>
      </c>
      <c r="H8" s="4" t="inlineStr">
        <is>
          <t>Processos padronizados; Integrações priorizadas; Releases mensais</t>
        </is>
      </c>
      <c r="I8" s="4" t="inlineStr">
        <is>
          <t>Semanal + Mensal (MBR)</t>
        </is>
      </c>
      <c r="J8" s="4" t="inlineStr">
        <is>
          <t>Diretoria (Sponsor)</t>
        </is>
      </c>
      <c r="K8" s="4" t="inlineStr">
        <is>
          <t>Squads/Times</t>
        </is>
      </c>
      <c r="L8" s="6" t="inlineStr">
        <is>
          <t>Planejado</t>
        </is>
      </c>
      <c r="M8" s="7" t="n">
        <v>0</v>
      </c>
      <c r="N8" s="6" t="inlineStr">
        <is>
          <t>Média</t>
        </is>
      </c>
      <c r="O8" s="4" t="inlineStr"/>
      <c r="P8" s="4" t="inlineStr"/>
    </row>
    <row r="9">
      <c r="A9" s="4" t="inlineStr">
        <is>
          <t>Fase 4</t>
        </is>
      </c>
      <c r="B9" s="4" t="inlineStr">
        <is>
          <t>Expansão por Ciclos (90 dias)</t>
        </is>
      </c>
      <c r="C9" s="4" t="inlineStr">
        <is>
          <t>Evoluir por ciclos: priorização contínua, entregas e revisão trimestral de rota.</t>
        </is>
      </c>
      <c r="D9" s="5" t="n">
        <v>46259</v>
      </c>
      <c r="E9" s="5" t="n">
        <v>46528</v>
      </c>
      <c r="F9" s="6">
        <f>IF(AND(D9&lt;&gt;"",E9&lt;&gt;""),E9-D9+1,"")</f>
        <v/>
      </c>
      <c r="G9" s="4" t="inlineStr">
        <is>
          <t>Gates trimestrais: Ciclos aprovados</t>
        </is>
      </c>
      <c r="H9" s="4" t="inlineStr">
        <is>
          <t>Ciclos 90d; Entregas mensais; Treinamentos; Indicadores maduros</t>
        </is>
      </c>
      <c r="I9" s="4" t="inlineStr">
        <is>
          <t>Semanal + Trimestral (QBR)</t>
        </is>
      </c>
      <c r="J9" s="4" t="inlineStr">
        <is>
          <t>Diretoria (Sponsor)</t>
        </is>
      </c>
      <c r="K9" s="4" t="inlineStr">
        <is>
          <t>Squads/Times</t>
        </is>
      </c>
      <c r="L9" s="6" t="inlineStr">
        <is>
          <t>Planejado</t>
        </is>
      </c>
      <c r="M9" s="7" t="n">
        <v>0</v>
      </c>
      <c r="N9" s="6" t="inlineStr">
        <is>
          <t>Média</t>
        </is>
      </c>
      <c r="O9" s="4" t="inlineStr"/>
      <c r="P9" s="4" t="inlineStr"/>
    </row>
    <row r="10">
      <c r="A10" s="4" t="inlineStr">
        <is>
          <t>Fase 5</t>
        </is>
      </c>
      <c r="B10" s="4" t="inlineStr">
        <is>
          <t>Consolidação e Escala</t>
        </is>
      </c>
      <c r="C10" s="4" t="inlineStr">
        <is>
          <t>Consolidar, documentar, capacitar e planejar continuidade/escala.</t>
        </is>
      </c>
      <c r="D10" s="5" t="n">
        <v>46529</v>
      </c>
      <c r="E10" s="5" t="n">
        <v>46618</v>
      </c>
      <c r="F10" s="6">
        <f>IF(AND(D10&lt;&gt;"",E10&lt;&gt;""),E10-D10+1,"")</f>
        <v/>
      </c>
      <c r="G10" s="4" t="inlineStr">
        <is>
          <t>Gate Final: Consolidação</t>
        </is>
      </c>
      <c r="H10" s="4" t="inlineStr">
        <is>
          <t>HiperAcademy/Playbooks; Handovers; Plano de continuidade; Auditoria de valor</t>
        </is>
      </c>
      <c r="I10" s="4" t="inlineStr">
        <is>
          <t>Mensal + Trimestral</t>
        </is>
      </c>
      <c r="J10" s="4" t="inlineStr">
        <is>
          <t>Diretoria (Sponsor)</t>
        </is>
      </c>
      <c r="K10" s="4" t="inlineStr">
        <is>
          <t>PM/Araripe</t>
        </is>
      </c>
      <c r="L10" s="6" t="inlineStr">
        <is>
          <t>Planejado</t>
        </is>
      </c>
      <c r="M10" s="7" t="n">
        <v>0</v>
      </c>
      <c r="N10" s="6" t="inlineStr">
        <is>
          <t>Média</t>
        </is>
      </c>
      <c r="O10" s="4" t="inlineStr"/>
      <c r="P10" s="4" t="inlineStr"/>
    </row>
    <row r="13" ht="22" customHeight="1">
      <c r="A13" s="8" t="inlineStr">
        <is>
          <t>CICLOS DE ENTREGA (90 DIAS) — registre iniciativas e critérios de pronto por ciclo</t>
        </is>
      </c>
    </row>
    <row r="14" ht="26" customHeight="1">
      <c r="A14" s="3" t="inlineStr">
        <is>
          <t>Ciclo</t>
        </is>
      </c>
      <c r="B14" s="3" t="inlineStr">
        <is>
          <t>Período</t>
        </is>
      </c>
      <c r="C14" s="3" t="inlineStr">
        <is>
          <t>Top 5 Iniciativas (resumo)</t>
        </is>
      </c>
      <c r="D14" s="3" t="inlineStr">
        <is>
          <t>Por que agora</t>
        </is>
      </c>
      <c r="E14" s="3" t="inlineStr">
        <is>
          <t>Resultado esperado (KPI/impacto)</t>
        </is>
      </c>
      <c r="F14" s="3" t="inlineStr">
        <is>
          <t>Critério de Pronto</t>
        </is>
      </c>
      <c r="G14" s="3" t="inlineStr">
        <is>
          <t>Dono</t>
        </is>
      </c>
      <c r="H14" s="3" t="inlineStr">
        <is>
          <t>Status</t>
        </is>
      </c>
      <c r="I14" s="3" t="inlineStr">
        <is>
          <t>% Conclusão</t>
        </is>
      </c>
      <c r="J14" s="3" t="inlineStr">
        <is>
          <t>Observações</t>
        </is>
      </c>
    </row>
    <row r="15">
      <c r="A15" s="4" t="inlineStr">
        <is>
          <t>C1</t>
        </is>
      </c>
      <c r="B15" s="4" t="inlineStr">
        <is>
          <t>0–90 dias</t>
        </is>
      </c>
      <c r="C15" s="4" t="inlineStr">
        <is>
          <t>Backlog V1 + Quick Wins + Dashboard semanal</t>
        </is>
      </c>
      <c r="D15" s="4" t="inlineStr">
        <is>
          <t>Baseline e confiança</t>
        </is>
      </c>
      <c r="E15" s="4" t="inlineStr">
        <is>
          <t>Visibilidade executiva e ganhos rápidos</t>
        </is>
      </c>
      <c r="F15" s="4" t="inlineStr">
        <is>
          <t>Gate 2 aprovado + evidências</t>
        </is>
      </c>
      <c r="G15" s="4" t="inlineStr">
        <is>
          <t>PM/Araripe</t>
        </is>
      </c>
      <c r="H15" s="6" t="inlineStr">
        <is>
          <t>Planejado</t>
        </is>
      </c>
      <c r="I15" s="7" t="n">
        <v>0</v>
      </c>
      <c r="J15" s="4" t="inlineStr"/>
    </row>
    <row r="16">
      <c r="A16" s="4" t="inlineStr">
        <is>
          <t>C2</t>
        </is>
      </c>
      <c r="B16" s="4" t="inlineStr">
        <is>
          <t>91–180 dias</t>
        </is>
      </c>
      <c r="C16" s="4" t="inlineStr">
        <is>
          <t>Processos estruturantes + integrações priorizadas</t>
        </is>
      </c>
      <c r="D16" s="4" t="inlineStr">
        <is>
          <t>Reduzir retrabalho</t>
        </is>
      </c>
      <c r="E16" s="4" t="inlineStr">
        <is>
          <t>Melhoria de fluxo e compliance</t>
        </is>
      </c>
      <c r="F16" s="4" t="inlineStr">
        <is>
          <t>Gate 3 aprovado + release</t>
        </is>
      </c>
      <c r="G16" s="4" t="inlineStr">
        <is>
          <t>Squads</t>
        </is>
      </c>
      <c r="H16" s="6" t="inlineStr">
        <is>
          <t>Planejado</t>
        </is>
      </c>
      <c r="I16" s="7" t="n">
        <v>0</v>
      </c>
      <c r="J16" s="4" t="inlineStr"/>
    </row>
    <row r="17">
      <c r="A17" s="4" t="inlineStr">
        <is>
          <t>C3</t>
        </is>
      </c>
      <c r="B17" s="4" t="inlineStr">
        <is>
          <t>181–270 dias</t>
        </is>
      </c>
      <c r="C17" s="4" t="inlineStr"/>
      <c r="D17" s="4" t="inlineStr"/>
      <c r="E17" s="4" t="inlineStr"/>
      <c r="F17" s="4" t="inlineStr"/>
      <c r="G17" s="4" t="inlineStr"/>
      <c r="H17" s="6" t="inlineStr">
        <is>
          <t>Planejado</t>
        </is>
      </c>
      <c r="I17" s="7" t="n">
        <v>0</v>
      </c>
      <c r="J17" s="4" t="inlineStr"/>
    </row>
    <row r="18">
      <c r="A18" s="4" t="inlineStr">
        <is>
          <t>C4</t>
        </is>
      </c>
      <c r="B18" s="4" t="inlineStr">
        <is>
          <t>271–360 dias</t>
        </is>
      </c>
      <c r="C18" s="4" t="inlineStr"/>
      <c r="D18" s="4" t="inlineStr"/>
      <c r="E18" s="4" t="inlineStr"/>
      <c r="F18" s="4" t="inlineStr"/>
      <c r="G18" s="4" t="inlineStr"/>
      <c r="H18" s="6" t="inlineStr">
        <is>
          <t>Planejado</t>
        </is>
      </c>
      <c r="I18" s="7" t="n">
        <v>0</v>
      </c>
      <c r="J18" s="4" t="inlineStr"/>
    </row>
  </sheetData>
  <mergeCells count="3">
    <mergeCell ref="A1:P1"/>
    <mergeCell ref="A13:P13"/>
    <mergeCell ref="A2:P2"/>
  </mergeCells>
  <conditionalFormatting sqref="L5:L10">
    <cfRule type="expression" priority="1" dxfId="0">
      <formula>EXACT(L5,"Planejado")</formula>
    </cfRule>
    <cfRule type="expression" priority="2" dxfId="1">
      <formula>EXACT(L5,"Em andamento")</formula>
    </cfRule>
    <cfRule type="expression" priority="3" dxfId="2">
      <formula>EXACT(L5,"Em risco")</formula>
    </cfRule>
    <cfRule type="expression" priority="4" dxfId="3">
      <formula>EXACT(L5,"Atrasado")</formula>
    </cfRule>
    <cfRule type="expression" priority="5" dxfId="4">
      <formula>EXACT(L5,"Concluído")</formula>
    </cfRule>
    <cfRule type="expression" priority="6" dxfId="5">
      <formula>EXACT(L5,"Suspenso")</formula>
    </cfRule>
  </conditionalFormatting>
  <conditionalFormatting sqref="M5:M10">
    <cfRule type="colorScale" priority="7">
      <colorScale>
        <cfvo type="num" val="0"/>
        <cfvo type="num" val="0.5"/>
        <cfvo type="num" val="1"/>
        <color rgb="00FECACA"/>
        <color rgb="00FEF9C3"/>
        <color rgb="00DCFCE7"/>
      </colorScale>
    </cfRule>
  </conditionalFormatting>
  <conditionalFormatting sqref="H15:H18">
    <cfRule type="expression" priority="8" dxfId="0">
      <formula>EXACT(H15,"Planejado")</formula>
    </cfRule>
    <cfRule type="expression" priority="9" dxfId="1">
      <formula>EXACT(H15,"Em andamento")</formula>
    </cfRule>
    <cfRule type="expression" priority="10" dxfId="2">
      <formula>EXACT(H15,"Em risco")</formula>
    </cfRule>
    <cfRule type="expression" priority="11" dxfId="3">
      <formula>EXACT(H15,"Atrasado")</formula>
    </cfRule>
    <cfRule type="expression" priority="12" dxfId="4">
      <formula>EXACT(H15,"Concluído")</formula>
    </cfRule>
    <cfRule type="expression" priority="13" dxfId="5">
      <formula>EXACT(H15,"Suspenso")</formula>
    </cfRule>
  </conditionalFormatting>
  <conditionalFormatting sqref="I15:I18">
    <cfRule type="colorScale" priority="14">
      <colorScale>
        <cfvo type="num" val="0"/>
        <cfvo type="num" val="0.5"/>
        <cfvo type="num" val="1"/>
        <color rgb="00FECACA"/>
        <color rgb="00FEF9C3"/>
        <color rgb="00DCFCE7"/>
      </colorScale>
    </cfRule>
  </conditionalFormatting>
  <dataValidations count="3">
    <dataValidation sqref="L5 L6 L7 L8 L9 L10" showDropDown="0" showInputMessage="0" showErrorMessage="0" allowBlank="1" type="list">
      <formula1>"Planejado,Em andamento,Atrasado,Em risco,Concluído,Suspenso"</formula1>
    </dataValidation>
    <dataValidation sqref="N5 N6 N7 N8 N9 N10" showDropDown="0" showInputMessage="0" showErrorMessage="0" allowBlank="1" type="list">
      <formula1>"Alta,Média,Baixa"</formula1>
    </dataValidation>
    <dataValidation sqref="H15 H16 H17 H18" showDropDown="0" showInputMessage="0" showErrorMessage="0" allowBlank="1" type="list">
      <formula1>"Planejado,Em andamento,Atrasado,Em risco,Concluído,Suspenso"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Dashboard Executivo — PDI Nexus</t>
        </is>
      </c>
    </row>
    <row r="2" ht="22" customHeight="1">
      <c r="A2" s="9" t="inlineStr">
        <is>
          <t>Os gráficos abaixo são alimentados automaticamente pela aba 'Cronograma' (fases) e pelo bloco de 'Ciclos'.</t>
        </is>
      </c>
    </row>
    <row r="4">
      <c r="A4" s="10" t="inlineStr">
        <is>
          <t>Resumo</t>
        </is>
      </c>
    </row>
    <row r="6">
      <c r="A6" s="3" t="inlineStr">
        <is>
          <t>Status</t>
        </is>
      </c>
      <c r="B6" s="3" t="inlineStr">
        <is>
          <t>Qtd (Fases)</t>
        </is>
      </c>
      <c r="C6" s="3" t="inlineStr">
        <is>
          <t>Média % Conclusão</t>
        </is>
      </c>
    </row>
    <row r="7">
      <c r="A7" s="4" t="inlineStr">
        <is>
          <t>Planejado</t>
        </is>
      </c>
      <c r="B7" s="6">
        <f>COUNTIF(tblCronograma[Status],"Planejado")</f>
        <v/>
      </c>
      <c r="C7" s="7">
        <f>IFERROR(AVERAGEIF(tblCronograma[Status],"Planejado",tblCronograma[% Conclusão]),0)</f>
        <v/>
      </c>
    </row>
    <row r="8">
      <c r="A8" s="4" t="inlineStr">
        <is>
          <t>Em andamento</t>
        </is>
      </c>
      <c r="B8" s="6">
        <f>COUNTIF(tblCronograma[Status],"Em andamento")</f>
        <v/>
      </c>
      <c r="C8" s="7">
        <f>IFERROR(AVERAGEIF(tblCronograma[Status],"Em andamento",tblCronograma[% Conclusão]),0)</f>
        <v/>
      </c>
    </row>
    <row r="9">
      <c r="A9" s="4" t="inlineStr">
        <is>
          <t>Em risco</t>
        </is>
      </c>
      <c r="B9" s="6">
        <f>COUNTIF(tblCronograma[Status],"Em risco")</f>
        <v/>
      </c>
      <c r="C9" s="7">
        <f>IFERROR(AVERAGEIF(tblCronograma[Status],"Em risco",tblCronograma[% Conclusão]),0)</f>
        <v/>
      </c>
    </row>
    <row r="10">
      <c r="A10" s="4" t="inlineStr">
        <is>
          <t>Atrasado</t>
        </is>
      </c>
      <c r="B10" s="6">
        <f>COUNTIF(tblCronograma[Status],"Atrasado")</f>
        <v/>
      </c>
      <c r="C10" s="7">
        <f>IFERROR(AVERAGEIF(tblCronograma[Status],"Atrasado",tblCronograma[% Conclusão]),0)</f>
        <v/>
      </c>
    </row>
    <row r="11">
      <c r="A11" s="4" t="inlineStr">
        <is>
          <t>Concluído</t>
        </is>
      </c>
      <c r="B11" s="6">
        <f>COUNTIF(tblCronograma[Status],"Concluído")</f>
        <v/>
      </c>
      <c r="C11" s="7">
        <f>IFERROR(AVERAGEIF(tblCronograma[Status],"Concluído",tblCronograma[% Conclusão]),0)</f>
        <v/>
      </c>
    </row>
    <row r="12">
      <c r="A12" s="4" t="inlineStr">
        <is>
          <t>Suspenso</t>
        </is>
      </c>
      <c r="B12" s="6">
        <f>COUNTIF(tblCronograma[Status],"Suspenso")</f>
        <v/>
      </c>
      <c r="C12" s="7">
        <f>IFERROR(AVERAGEIF(tblCronograma[Status],"Suspenso",tblCronograma[% Conclusão]),0)</f>
        <v/>
      </c>
    </row>
    <row r="13">
      <c r="A13" s="11" t="inlineStr">
        <is>
          <t>TOTAL</t>
        </is>
      </c>
      <c r="B13" s="12">
        <f>COUNTA(tblCronograma[Fase])</f>
        <v/>
      </c>
      <c r="C13" s="13">
        <f>IFERROR(AVERAGE(tblCronograma[% Conclusão]),0)</f>
        <v/>
      </c>
    </row>
    <row r="14">
      <c r="A14" s="3" t="inlineStr">
        <is>
          <t>Fase</t>
        </is>
      </c>
      <c r="B14" s="3" t="inlineStr">
        <is>
          <t>% Conclusão</t>
        </is>
      </c>
    </row>
    <row r="15">
      <c r="A15" s="4">
        <f>INDEX(tblCronograma[Fase],1)</f>
        <v/>
      </c>
      <c r="B15" s="7">
        <f>INDEX(tblCronograma[% Conclusão],1)</f>
        <v/>
      </c>
    </row>
    <row r="16">
      <c r="A16" s="4">
        <f>INDEX(tblCronograma[Fase],2)</f>
        <v/>
      </c>
      <c r="B16" s="7">
        <f>INDEX(tblCronograma[% Conclusão],2)</f>
        <v/>
      </c>
    </row>
    <row r="17">
      <c r="A17" s="4">
        <f>INDEX(tblCronograma[Fase],3)</f>
        <v/>
      </c>
      <c r="B17" s="7">
        <f>INDEX(tblCronograma[% Conclusão],3)</f>
        <v/>
      </c>
    </row>
    <row r="18">
      <c r="A18" s="4">
        <f>INDEX(tblCronograma[Fase],4)</f>
        <v/>
      </c>
      <c r="B18" s="7">
        <f>INDEX(tblCronograma[% Conclusão],4)</f>
        <v/>
      </c>
    </row>
    <row r="19">
      <c r="A19" s="4">
        <f>INDEX(tblCronograma[Fase],5)</f>
        <v/>
      </c>
      <c r="B19" s="7">
        <f>INDEX(tblCronograma[% Conclusão],5)</f>
        <v/>
      </c>
    </row>
    <row r="20">
      <c r="A20" s="4">
        <f>INDEX(tblCronograma[Fase],6)</f>
        <v/>
      </c>
      <c r="B20" s="7">
        <f>INDEX(tblCronograma[% Conclusão],6)</f>
        <v/>
      </c>
    </row>
    <row r="26">
      <c r="A26" s="10" t="inlineStr">
        <is>
          <t>KPIs rápidos</t>
        </is>
      </c>
    </row>
    <row r="28">
      <c r="A28" s="4" t="inlineStr">
        <is>
          <t>Total de fases</t>
        </is>
      </c>
      <c r="B28" s="12">
        <f>B13</f>
        <v/>
      </c>
    </row>
    <row r="29">
      <c r="A29" s="4" t="inlineStr">
        <is>
          <t>Média % conclusão</t>
        </is>
      </c>
      <c r="B29" s="13">
        <f>C13</f>
        <v/>
      </c>
    </row>
    <row r="30">
      <c r="A30" s="4" t="inlineStr">
        <is>
          <t>Em risco + Atrasado</t>
        </is>
      </c>
      <c r="B30" s="12">
        <f>COUNTIF(tblCronograma[Status],"Em risco")+COUNTIF(tblCronograma[Status],"Atrasado")</f>
        <v/>
      </c>
    </row>
  </sheetData>
  <mergeCells count="4">
    <mergeCell ref="A4:H4"/>
    <mergeCell ref="A2:H2"/>
    <mergeCell ref="A26:D26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2026-02-25T21:02:54Z</dcterms:created>
  <dcterms:modified xmlns:dcterms="http://purl.org/dc/terms/" xmlns:xsi="http://www.w3.org/2001/XMLSchema-instance" xsi:type="dcterms:W3CDTF">2026-02-25T21:02:54Z</dcterms:modified>
</cp:coreProperties>
</file>